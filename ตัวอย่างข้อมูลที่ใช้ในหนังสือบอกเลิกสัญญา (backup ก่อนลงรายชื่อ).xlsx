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y-first-project\"/>
    </mc:Choice>
  </mc:AlternateContent>
  <xr:revisionPtr revIDLastSave="0" documentId="13_ncr:1_{DBE6E943-FF4C-4635-AEAF-0BA87AE3AD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AA7" i="1"/>
  <c r="Y7" i="1"/>
  <c r="W7" i="1"/>
  <c r="U7" i="1"/>
  <c r="S7" i="1"/>
  <c r="L7" i="1"/>
  <c r="J7" i="1"/>
  <c r="AA6" i="1"/>
  <c r="Y6" i="1"/>
  <c r="W6" i="1"/>
  <c r="U6" i="1"/>
  <c r="S6" i="1"/>
  <c r="L6" i="1"/>
  <c r="J6" i="1"/>
  <c r="AA5" i="1"/>
  <c r="Y5" i="1"/>
  <c r="W5" i="1"/>
  <c r="U5" i="1"/>
  <c r="S5" i="1"/>
  <c r="L5" i="1"/>
  <c r="J5" i="1"/>
  <c r="AA4" i="1"/>
  <c r="Y4" i="1"/>
  <c r="W4" i="1"/>
  <c r="U4" i="1"/>
  <c r="S4" i="1"/>
  <c r="L4" i="1"/>
  <c r="J4" i="1"/>
  <c r="AA3" i="1"/>
  <c r="Y3" i="1"/>
  <c r="W3" i="1"/>
  <c r="U3" i="1"/>
  <c r="S3" i="1"/>
  <c r="L3" i="1"/>
  <c r="J3" i="1"/>
</calcChain>
</file>

<file path=xl/sharedStrings.xml><?xml version="1.0" encoding="utf-8"?>
<sst xmlns="http://schemas.openxmlformats.org/spreadsheetml/2006/main" count="213" uniqueCount="166">
  <si>
    <t xml:space="preserve">ที่อยู่ </t>
  </si>
  <si>
    <t>สัญญาเลขที่</t>
  </si>
  <si>
    <t>ชื่อผู้ทำสัญญา</t>
  </si>
  <si>
    <t>วันที่ทำสัญญา</t>
  </si>
  <si>
    <t>ประเภทสัญญา</t>
  </si>
  <si>
    <t>ยี่ห้อ</t>
  </si>
  <si>
    <t>รุ่น/แบบ</t>
  </si>
  <si>
    <t>เครื่อง</t>
  </si>
  <si>
    <t>Serial Number</t>
  </si>
  <si>
    <t>ค่าเช่าซื้อรวมภาษีมูลค่าเพิ่ม</t>
  </si>
  <si>
    <t>ค่าเช่าซื้อรวมภาษีมูลค่าเพิ่มtxt</t>
  </si>
  <si>
    <t>งวดละ (บาท)</t>
  </si>
  <si>
    <t>งวดละ(บาท) txt</t>
  </si>
  <si>
    <t>จำนวนงวดเช่าซื้อ (ตลอดอายุสัญญา)</t>
  </si>
  <si>
    <t>วันเริ่มชำระงวดแรก</t>
  </si>
  <si>
    <t>วันที่ชำระงวดต่อไป</t>
  </si>
  <si>
    <t>ค้างชำระงวดแรก</t>
  </si>
  <si>
    <t>งวดที่ครบ OD 6</t>
  </si>
  <si>
    <t>ค่าเช่าซื้อ 6 งวด (OD1-OD6)</t>
  </si>
  <si>
    <t>ค่าเช่าซื้อ 6 งวด (OD1-OD6)txt</t>
  </si>
  <si>
    <t xml:space="preserve">ค่าเบี้ยปรับชำระล่าช้า </t>
  </si>
  <si>
    <t>ค่าเบี้ยปรับชำระล่าช้า txt</t>
  </si>
  <si>
    <t>ค่าติดตามทวงถามหนี้</t>
  </si>
  <si>
    <t>ค่าติดตามทวงถามหนี้txt</t>
  </si>
  <si>
    <t>ค่าใช้จ่ายอื่นที่บริษัทฯ มีสิทธิเรียกเก็บตามกฎหมาย</t>
  </si>
  <si>
    <t>ค่าใช้จ่ายอื่นที่บริษัทฯ มีสิทธิเรียกเก็บตามกฎหมายtxt</t>
  </si>
  <si>
    <t>รวมเป็นเงินทั้งสิ้น</t>
  </si>
  <si>
    <t>รวมเป็นเงินทั้งสิ้นtxt</t>
  </si>
  <si>
    <t>วันที่เป็น OD6</t>
  </si>
  <si>
    <t>ที่อยู่ตามทะเบียนบ้าน</t>
  </si>
  <si>
    <t>เลขที่</t>
  </si>
  <si>
    <t>แขวง/ ตำบล / อำเภอ</t>
  </si>
  <si>
    <t>จังหวัด</t>
  </si>
  <si>
    <t>รหัส ปณ.</t>
  </si>
  <si>
    <t>นาย พัสกร จันทร์เที่ยง</t>
  </si>
  <si>
    <t>เช่าซื้อ Smart Phone</t>
  </si>
  <si>
    <t>Apple</t>
  </si>
  <si>
    <t>MacBook Air 15 : M2  256GB Starlight</t>
  </si>
  <si>
    <t>FJFP4P5PW7</t>
  </si>
  <si>
    <t>เลขที่ 5/24 หมู่ที่ - หมู่บ้าน/โครงการ - อาคาร - ชั้น - ซอย - ถนน เวียงบัว เลขที่ห้อง - ตำบลช้างเผือก อำเภอเมืองเชียงใหม่ จังหวัดเชียงใหม่ 50300</t>
  </si>
  <si>
    <t>เลขที่ 5/24 หมู่ที่ - หมู่บ้าน/โครงการ - อาคาร - ชั้น - ซอย - ถนน เวียงบัว เลขที่ห้อง -</t>
  </si>
  <si>
    <t>ตำบลช้างเผือก อำเภอเมืองเชียงใหม่</t>
  </si>
  <si>
    <t>เชียงใหม่</t>
  </si>
  <si>
    <t>ทิพวัลย์ ชัยนาคิน</t>
  </si>
  <si>
    <t>Xiaomi 14T pro tita gray 12+512</t>
  </si>
  <si>
    <t>866822070273164</t>
  </si>
  <si>
    <t>เลขที่ 62/2 หมู่ที่ หมู่ที่ 1 ตำบลบางสวรรค์ อำเภอพระแสง จังหวัดสุราษฎร์ธานี 84210</t>
  </si>
  <si>
    <t>เลขที่ 62/2 หมู่ที่ หมู่ที่ 1</t>
  </si>
  <si>
    <t>ตำบลบางสวรรค์ อำเภอพระแสง</t>
  </si>
  <si>
    <t xml:space="preserve">สุราษฎร์ธานี </t>
  </si>
  <si>
    <t>นางสาว นราธิป บุญเลิศ</t>
  </si>
  <si>
    <t>ipad air 11 128 GB purple</t>
  </si>
  <si>
    <t>KGTCDWW6LG</t>
  </si>
  <si>
    <t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ตำบลแม่ยาว อำเภอเมืองเชียงราย จังหวัดเชียงราย 57100</t>
  </si>
  <si>
    <t xml:space="preserve"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</t>
  </si>
  <si>
    <t xml:space="preserve"> ตำบลแม่ยาว อำเภอเมืองเชียงราย</t>
  </si>
  <si>
    <t xml:space="preserve">เชียงราย </t>
  </si>
  <si>
    <t>นาง นฤมล ศรีทอง</t>
  </si>
  <si>
    <t>Samsung</t>
  </si>
  <si>
    <t>Samsung Galaxy A26 5G</t>
  </si>
  <si>
    <t>8806097098270</t>
  </si>
  <si>
    <t>353567823730867</t>
  </si>
  <si>
    <t>เลขที่ 201/3 หมู่ที่ 7 ตำบลตาขัน อำเภอบ้านค่าย จังหวัดระยอง 21120</t>
  </si>
  <si>
    <t>เลขที่ 201/3 หมู่ที่ 7</t>
  </si>
  <si>
    <t>ตำบลตาขัน อำเภอบ้านค่าย</t>
  </si>
  <si>
    <t>ระยอง</t>
  </si>
  <si>
    <t>นาย ศุภกฤต รัตนมณี</t>
  </si>
  <si>
    <t>iPhone 11 black 64GB</t>
  </si>
  <si>
    <t>194252097328</t>
  </si>
  <si>
    <t>FFWMNLPN735</t>
  </si>
  <si>
    <t>เลขที่ 263 หมู่ที่ 4 ตำบลนาทวี อำเภอนาทวี จังหวัดสงขลา 90160</t>
  </si>
  <si>
    <t>เลขที่ 263 หมู่ที่ 4</t>
  </si>
  <si>
    <t>ตำบลนาทวี อำเภอนาทวี</t>
  </si>
  <si>
    <t>สงขลา</t>
  </si>
  <si>
    <t>#</t>
  </si>
  <si>
    <t>A</t>
  </si>
  <si>
    <t>CONTRACT.CONTRACT_NUMBER</t>
  </si>
  <si>
    <t>B</t>
  </si>
  <si>
    <t>C</t>
  </si>
  <si>
    <t>CONTRACT.CONTRACT_START</t>
  </si>
  <si>
    <t>D</t>
  </si>
  <si>
    <t>'เช่าซื้อ ' + MT_CATEGORY.CATEGORY_NAME</t>
  </si>
  <si>
    <t>E</t>
  </si>
  <si>
    <t>MT_BRAND.BRAND_NAME</t>
  </si>
  <si>
    <t>F</t>
  </si>
  <si>
    <t>PRODUCT.MODEL_NAME</t>
  </si>
  <si>
    <t>G</t>
  </si>
  <si>
    <t>PRODUCT.MODEL_NUMBER</t>
  </si>
  <si>
    <t>H</t>
  </si>
  <si>
    <t>PRODUCT.SERIAL_NUMBER</t>
  </si>
  <si>
    <t>I</t>
  </si>
  <si>
    <t>ค่าเช่าซื้อรวม VAT</t>
  </si>
  <si>
    <t>คำนวณ</t>
  </si>
  <si>
    <t>J</t>
  </si>
  <si>
    <t>สูตร Excel</t>
  </si>
  <si>
    <t>K</t>
  </si>
  <si>
    <t>งวดละ</t>
  </si>
  <si>
    <t>PRODUCT.INSTALL_SUM</t>
  </si>
  <si>
    <t>L</t>
  </si>
  <si>
    <t>M</t>
  </si>
  <si>
    <t>จำนวนงวด</t>
  </si>
  <si>
    <t>PRODUCT.INSTALL_NUM</t>
  </si>
  <si>
    <t>N</t>
  </si>
  <si>
    <t>PRODUCT.FRIST_PAY_DATE</t>
  </si>
  <si>
    <t>O</t>
  </si>
  <si>
    <t>PRODUCT.DUEDATE_NUM</t>
  </si>
  <si>
    <t>มีแค่ 2 ค่าทั้งฐาน คือ 1 กับ 16</t>
  </si>
  <si>
    <t>P</t>
  </si>
  <si>
    <t>Q</t>
  </si>
  <si>
    <t>R</t>
  </si>
  <si>
    <t>ค่าเช่าซื้อ 6 งวด</t>
  </si>
  <si>
    <t>COLLECTION_OD.OD_AMOUNT</t>
  </si>
  <si>
    <t>S</t>
  </si>
  <si>
    <t>T</t>
  </si>
  <si>
    <t>ค่าเบี้ยปรับชำระล่าช้า</t>
  </si>
  <si>
    <t>COLLECTION_OD.PENALTY_AMT</t>
  </si>
  <si>
    <t>100 บาท/งวดที่ค้าง</t>
  </si>
  <si>
    <t>U</t>
  </si>
  <si>
    <t>V</t>
  </si>
  <si>
    <t>COLLECTION_OD.COLLECT_AMT</t>
  </si>
  <si>
    <t>50–100 บาท/งวดที่ค้าง</t>
  </si>
  <si>
    <t>W</t>
  </si>
  <si>
    <t>X</t>
  </si>
  <si>
    <t>ค่าใช้จ่ายอื่น</t>
  </si>
  <si>
    <t>Y</t>
  </si>
  <si>
    <t>Z</t>
  </si>
  <si>
    <t>R + T + V + X</t>
  </si>
  <si>
    <t>AA</t>
  </si>
  <si>
    <t>AB</t>
  </si>
  <si>
    <t>COLLECTION_OD.EXTRACT_DATE</t>
  </si>
  <si>
    <t>บวก 543 เป็น พ.ศ. · คือวัน snapshot ที่ใช้เป็นเกณฑ์คัดรายชื่อ</t>
  </si>
  <si>
    <t>AC</t>
  </si>
  <si>
    <t>ประกอบ</t>
  </si>
  <si>
    <t>AD + AE + 'จังหวัด' + AF + AG</t>
  </si>
  <si>
    <t>AD</t>
  </si>
  <si>
    <t>AE</t>
  </si>
  <si>
    <t>แขวง/ตำบล/อำเภอ</t>
  </si>
  <si>
    <t>AF</t>
  </si>
  <si>
    <t>MT_PROVINCE.PROVINCE_NAME</t>
  </si>
  <si>
    <t>AG</t>
  </si>
  <si>
    <t>ADDRESS.A1_POSTALCODE</t>
  </si>
  <si>
    <t>MT_PREFIX.Prefix_name + PERSON.FIRST_NAME + PERSON.LAST_NAME</t>
  </si>
  <si>
    <t>ต่อ 3 ช่องด้วยเว้นวรรค · PERSON.PREFIX เก็บเป็นรหัส ต้อง join MT_PREFIX แปลงเป็นคำ</t>
  </si>
  <si>
    <t>ตรงๆ (MAKE_DATE ให้ค่าเดียวกันทั้ง 4 ราย)</t>
  </si>
  <si>
    <t>join ผ่าน PRODUCT.PRODUCT_CATEGORY</t>
  </si>
  <si>
    <t>ตรงๆ · ห้ามใช้ CONTRACT.SERIAL_NUMBER เพราะว่างทั้งตาราง</t>
  </si>
  <si>
    <t>รวม VAT แล้ว · อย่าใช้ INSTALL_AMT เพราะเป็นยอดก่อน VAT</t>
  </si>
  <si>
    <t>เท่ากับ COUNT(CUSTOMER_CARD) · อย่าใช้ CONTRACT.INSTALL_NUM_FINAL เพราะหมายถึงงวดที่ค่างวดปกติ (น้อยกว่า 1 งวด)</t>
  </si>
  <si>
    <t>ตรงๆ (สะกดผิดในฐาน) · เท่ากับ MIN(CUSTOMER_CARD.DUEDATE)</t>
  </si>
  <si>
    <t>MIN(CUSTOMER_CARD.INSTALL_NUM) ที่ RECEIPT_NUMBER IS NULL — งวดแรกที่ยังไม่มีใบเสร็จ</t>
  </si>
  <si>
    <t>MIN(P + 5, M) — นับ 6 งวดจากงวดที่ค้างงวดแรก แต่ไม่เกินงวดสุดท้ายของสัญญา</t>
  </si>
  <si>
    <t>ยอดค้างที่ระบบคิดไว้ = จำนวนงวดที่เลยกำหนดแล้ว × ค่างวด · ไม่ใช่ (Q−P+1) × K เพราะงวดอนาคตยังเรียกเก็บไม่ได้</t>
  </si>
  <si>
    <t>ADDRESS ชุด A1_*</t>
  </si>
  <si>
    <t>MT_SUB_DISTRICT + MT_DISTRICT</t>
  </si>
  <si>
    <t>Remark</t>
  </si>
  <si>
    <t>column_name</t>
  </si>
  <si>
    <t>Table-Column (SQL)</t>
  </si>
  <si>
    <t>Primary-Key</t>
  </si>
  <si>
    <t>join ผ่าน PRODUCT.PRODUCT_BAND (ที่จริงคือ BRAND)</t>
  </si>
  <si>
    <t>K × M — ตรงกับ PRODUCT.HP_VAT_SUM ใน 3 จาก 4 ราย (อีกรายต่าง 0.05 บาทจากการปัดเศษ )</t>
  </si>
  <si>
    <t>=BAHTTEXT()</t>
  </si>
  <si>
    <t>ไม่รู้ น่าจะ0</t>
  </si>
  <si>
    <t>ตำบล' + SUB_DISTRICT_NAME + ' อำเภอ' + DISTRICT_NAME · join ผ่าน ADDRESS.A1_SUBDISTRICT / A1_DISTRICT </t>
  </si>
  <si>
    <t>ADDRESS.A1_PROVINCE เก็บรหัสเป็นString ต้อง CAST(... AS int) ก่อน join</t>
  </si>
  <si>
    <t>คำนวณตามสูตร</t>
  </si>
  <si>
    <t xml:space="preserve">ต่อกัน: เลขที่ {A1_NO} หมู่ที่ {A1_MOI} หมู่บ้าน/โครงการ {A1_VILLAGE} อาคาร {A1_BUILDING} ชั้น {A1_FLOOR} ซอย {A1_SOI} ถนน {A1_ROAD} เลขที่ห้อง {A1_ROOM_NO} — ช่องไหนว่างให้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</si>
</sst>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70000]d/mm/yyyy;@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2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Tahoma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right"/>
    </xf>
    <xf numFmtId="0" fontId="4" fillId="0" borderId="0" xfId="0" applyFont="1"/>
    <xf numFmtId="164" fontId="0" fillId="0" borderId="2" xfId="0" applyNumberFormat="1" applyBorder="1"/>
    <xf numFmtId="43" fontId="0" fillId="0" borderId="2" xfId="1" applyFont="1" applyBorder="1"/>
    <xf numFmtId="0" fontId="6" fillId="0" borderId="0" xfId="0" applyFont="1"/>
    <xf numFmtId="0" fontId="6" fillId="0" borderId="3" xfId="0" applyFont="1" applyBorder="1"/>
    <xf numFmtId="49" fontId="6" fillId="0" borderId="3" xfId="0" applyNumberFormat="1" applyFont="1" applyBorder="1"/>
    <xf numFmtId="49" fontId="6" fillId="0" borderId="0" xfId="0" applyNumberFormat="1" applyFont="1"/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left"/>
    </xf>
    <xf numFmtId="49" fontId="5" fillId="2" borderId="3" xfId="0" applyNumberFormat="1" applyFont="1" applyFill="1" applyBorder="1"/>
    <xf numFmtId="49" fontId="6" fillId="0" borderId="3" xfId="0" quotePrefix="1" applyNumberFormat="1" applyFont="1" applyBorder="1"/>
    <xf numFmtId="49" fontId="6" fillId="2" borderId="3" xfId="0" applyNumberFormat="1" applyFont="1" applyFill="1" applyBorder="1"/>
  </cellXfs>
  <cellStyles count="3">
    <cellStyle name="Comma" xfId="1" builtinId="3"/>
    <cellStyle name="Comma 2" xfId="2" xr:uid="{C5087968-DFDB-41DB-AE70-BCDBF714B2E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opLeftCell="H1" workbookViewId="0">
      <selection activeCell="N9" sqref="N9"/>
    </sheetView>
  </sheetViews>
  <sheetFormatPr defaultColWidth="8.77734375" defaultRowHeight="14.4"/>
  <cols>
    <col min="1" max="1" width="15" style="10" bestFit="1" customWidth="1"/>
    <col min="2" max="2" width="23" style="10" bestFit="1" customWidth="1"/>
    <col min="3" max="3" width="12.6640625" style="10" customWidth="1"/>
    <col min="4" max="4" width="23.77734375" style="10" customWidth="1"/>
    <col min="5" max="5" width="8.21875" style="10" customWidth="1"/>
    <col min="6" max="6" width="33.6640625" style="10" customWidth="1"/>
    <col min="7" max="7" width="14.109375" style="10" bestFit="1" customWidth="1"/>
    <col min="8" max="8" width="12.6640625" style="10" bestFit="1" customWidth="1"/>
    <col min="9" max="9" width="11.6640625" style="10" bestFit="1" customWidth="1"/>
    <col min="10" max="10" width="45" style="10" bestFit="1" customWidth="1"/>
    <col min="11" max="11" width="11.109375" style="10" bestFit="1" customWidth="1"/>
    <col min="12" max="12" width="36.109375" style="10" bestFit="1" customWidth="1"/>
    <col min="13" max="14" width="15.44140625" style="10" bestFit="1" customWidth="1"/>
    <col min="15" max="15" width="10.77734375" style="10" bestFit="1" customWidth="1"/>
    <col min="16" max="16" width="14.5546875" style="10" customWidth="1"/>
    <col min="17" max="17" width="16.21875" style="10" customWidth="1"/>
    <col min="18" max="18" width="13.44140625" style="10" bestFit="1" customWidth="1"/>
    <col min="19" max="19" width="42.6640625" style="10" bestFit="1" customWidth="1"/>
    <col min="20" max="20" width="9" style="10" bestFit="1" customWidth="1"/>
    <col min="21" max="21" width="12.77734375" style="10" bestFit="1" customWidth="1"/>
    <col min="22" max="22" width="11.44140625" style="10" bestFit="1" customWidth="1"/>
    <col min="23" max="23" width="16.109375" style="10" bestFit="1" customWidth="1"/>
    <col min="24" max="24" width="21" style="10" bestFit="1" customWidth="1"/>
    <col min="25" max="25" width="23.109375" style="10" bestFit="1" customWidth="1"/>
    <col min="26" max="26" width="13.44140625" style="10" customWidth="1"/>
    <col min="27" max="27" width="41.44140625" style="10" bestFit="1" customWidth="1"/>
    <col min="28" max="28" width="11.109375" style="10" bestFit="1" customWidth="1"/>
    <col min="29" max="29" width="123.6640625" style="10" customWidth="1"/>
    <col min="30" max="30" width="36.5546875" style="10" customWidth="1"/>
    <col min="31" max="31" width="45.109375" style="10" customWidth="1"/>
    <col min="32" max="32" width="16.109375" style="10" customWidth="1"/>
    <col min="33" max="33" width="15.44140625" style="10" customWidth="1"/>
  </cols>
  <sheetData>
    <row r="1" spans="1:33" s="4" customFormat="1" ht="15.6" customHeight="1">
      <c r="A1" s="1">
        <v>3</v>
      </c>
      <c r="B1" s="1">
        <v>2</v>
      </c>
      <c r="C1" s="1">
        <v>4</v>
      </c>
      <c r="D1" s="2">
        <v>5</v>
      </c>
      <c r="E1" s="2">
        <v>6</v>
      </c>
      <c r="F1" s="2">
        <v>7</v>
      </c>
      <c r="G1" s="2">
        <v>8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/>
      <c r="T1" s="2">
        <v>20</v>
      </c>
      <c r="U1" s="2"/>
      <c r="V1" s="2">
        <v>21</v>
      </c>
      <c r="W1" s="2"/>
      <c r="X1" s="2">
        <v>22</v>
      </c>
      <c r="Y1" s="2"/>
      <c r="Z1" s="2">
        <v>23</v>
      </c>
      <c r="AA1" s="2">
        <v>24</v>
      </c>
      <c r="AB1" s="2">
        <v>1</v>
      </c>
      <c r="AC1" s="1" t="s">
        <v>0</v>
      </c>
      <c r="AD1" s="1"/>
      <c r="AE1" s="1"/>
      <c r="AF1" s="3"/>
      <c r="AG1" s="1"/>
    </row>
    <row r="2" spans="1:33" s="9" customFormat="1" ht="57.6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7" t="s">
        <v>29</v>
      </c>
      <c r="AD2" s="8" t="s">
        <v>30</v>
      </c>
      <c r="AE2" s="8" t="s">
        <v>31</v>
      </c>
      <c r="AF2" s="8" t="s">
        <v>32</v>
      </c>
      <c r="AG2" s="8" t="s">
        <v>33</v>
      </c>
    </row>
    <row r="3" spans="1:33" ht="19.8" customHeight="1">
      <c r="A3" s="12">
        <v>2495733</v>
      </c>
      <c r="B3" s="10" t="s">
        <v>34</v>
      </c>
      <c r="C3" s="15">
        <v>45380</v>
      </c>
      <c r="D3" s="10" t="s">
        <v>35</v>
      </c>
      <c r="E3" s="10" t="s">
        <v>36</v>
      </c>
      <c r="F3" s="10" t="s">
        <v>37</v>
      </c>
      <c r="G3" s="11">
        <v>194253712534</v>
      </c>
      <c r="H3" s="10" t="s">
        <v>38</v>
      </c>
      <c r="I3" s="16">
        <v>44788.800000000003</v>
      </c>
      <c r="J3" s="10" t="str">
        <f>BAHTTEXT(I3)</f>
        <v>สี่หมื่นสี่พันเจ็ดร้อยแปดสิบแปดบาทแปดสิบสตางค์</v>
      </c>
      <c r="K3" s="16">
        <v>1866.2</v>
      </c>
      <c r="L3" s="10" t="str">
        <f>BAHTTEXT(K3)</f>
        <v>หนึ่งพันแปดร้อยหกสิบหกบาทยี่สิบสตางค์</v>
      </c>
      <c r="M3" s="10">
        <v>24</v>
      </c>
      <c r="N3" s="15">
        <v>45398</v>
      </c>
      <c r="O3" s="10">
        <v>16</v>
      </c>
      <c r="P3" s="10">
        <v>24</v>
      </c>
      <c r="Q3" s="10">
        <v>24</v>
      </c>
      <c r="R3" s="16">
        <v>1866.2</v>
      </c>
      <c r="S3" s="10" t="str">
        <f>BAHTTEXT(R3)</f>
        <v>หนึ่งพันแปดร้อยหกสิบหกบาทยี่สิบสตางค์</v>
      </c>
      <c r="T3" s="10">
        <v>100</v>
      </c>
      <c r="U3" s="10" t="str">
        <f>BAHTTEXT(T3)</f>
        <v>หนึ่งร้อยบาทถ้วน</v>
      </c>
      <c r="V3" s="10">
        <v>50</v>
      </c>
      <c r="W3" s="10" t="str">
        <f>BAHTTEXT(V3)</f>
        <v>ห้าสิบบาทถ้วน</v>
      </c>
      <c r="X3" s="10">
        <v>0</v>
      </c>
      <c r="Y3" s="10" t="str">
        <f>BAHTTEXT(X3)</f>
        <v>ศูนย์บาทถ้วน</v>
      </c>
      <c r="Z3" s="10">
        <v>2066.1999999999998</v>
      </c>
      <c r="AA3" s="10" t="str">
        <f>BAHTTEXT(Z3)</f>
        <v>สองพันหกสิบหกบาทยี่สิบสตางค์</v>
      </c>
      <c r="AB3" s="13">
        <v>244563</v>
      </c>
      <c r="AC3" s="14" t="s">
        <v>39</v>
      </c>
      <c r="AD3" s="10" t="s">
        <v>40</v>
      </c>
      <c r="AE3" s="10" t="s">
        <v>41</v>
      </c>
      <c r="AF3" s="10" t="s">
        <v>42</v>
      </c>
      <c r="AG3" s="10">
        <v>50300</v>
      </c>
    </row>
    <row r="4" spans="1:33" ht="19.8" customHeight="1">
      <c r="A4" s="12">
        <v>25221018</v>
      </c>
      <c r="B4" s="10" t="s">
        <v>43</v>
      </c>
      <c r="C4" s="15">
        <v>45813</v>
      </c>
      <c r="D4" s="10" t="s">
        <v>35</v>
      </c>
      <c r="E4" s="10" t="s">
        <v>36</v>
      </c>
      <c r="F4" s="10" t="s">
        <v>44</v>
      </c>
      <c r="G4" s="11">
        <v>6941812789117</v>
      </c>
      <c r="H4" s="10" t="s">
        <v>45</v>
      </c>
      <c r="I4" s="16">
        <v>23138.37</v>
      </c>
      <c r="J4" s="10" t="str">
        <f>BAHTTEXT(I4)</f>
        <v>สองหมื่นสามพันหนึ่งร้อยสามสิบแปดบาทสามสิบเจ็ดสตางค์</v>
      </c>
      <c r="K4" s="16">
        <v>2570.9299999999998</v>
      </c>
      <c r="L4" s="10" t="str">
        <f>BAHTTEXT(K4)</f>
        <v>สองพันห้าร้อยเจ็ดสิบบาทเก้าสิบสามสตางค์</v>
      </c>
      <c r="M4" s="10">
        <v>9</v>
      </c>
      <c r="N4" s="15">
        <v>45839</v>
      </c>
      <c r="O4" s="10">
        <v>1</v>
      </c>
      <c r="P4" s="10">
        <v>9</v>
      </c>
      <c r="Q4" s="10">
        <v>9</v>
      </c>
      <c r="R4" s="16">
        <v>2570.9299999999998</v>
      </c>
      <c r="S4" s="10" t="str">
        <f>BAHTTEXT(R4)</f>
        <v>สองพันห้าร้อยเจ็ดสิบบาทเก้าสิบสามสตางค์</v>
      </c>
      <c r="T4" s="10">
        <v>100</v>
      </c>
      <c r="U4" s="10" t="str">
        <f>BAHTTEXT(T4)</f>
        <v>หนึ่งร้อยบาทถ้วน</v>
      </c>
      <c r="V4" s="10">
        <v>50</v>
      </c>
      <c r="W4" s="10" t="str">
        <f>BAHTTEXT(V4)</f>
        <v>ห้าสิบบาทถ้วน</v>
      </c>
      <c r="X4" s="10">
        <v>0</v>
      </c>
      <c r="Y4" s="10" t="str">
        <f>BAHTTEXT(X4)</f>
        <v>ศูนย์บาทถ้วน</v>
      </c>
      <c r="Z4" s="10">
        <v>2770.93</v>
      </c>
      <c r="AA4" s="10" t="str">
        <f>BAHTTEXT(Z4)</f>
        <v>สองพันเจ็ดร้อยเจ็ดสิบบาทเก้าสิบสามสตางค์</v>
      </c>
      <c r="AB4" s="13">
        <v>244578</v>
      </c>
      <c r="AC4" s="14" t="s">
        <v>46</v>
      </c>
      <c r="AD4" s="10" t="s">
        <v>47</v>
      </c>
      <c r="AE4" s="10" t="s">
        <v>48</v>
      </c>
      <c r="AF4" s="10" t="s">
        <v>49</v>
      </c>
      <c r="AG4" s="10">
        <v>84210</v>
      </c>
    </row>
    <row r="5" spans="1:33" ht="19.8" customHeight="1">
      <c r="A5" s="12">
        <v>24143298</v>
      </c>
      <c r="B5" s="10" t="s">
        <v>50</v>
      </c>
      <c r="C5" s="15">
        <v>45567</v>
      </c>
      <c r="D5" s="10" t="s">
        <v>35</v>
      </c>
      <c r="E5" s="10" t="s">
        <v>36</v>
      </c>
      <c r="F5" s="10" t="s">
        <v>51</v>
      </c>
      <c r="G5" s="11">
        <v>195949189029</v>
      </c>
      <c r="H5" s="10" t="s">
        <v>52</v>
      </c>
      <c r="I5" s="16">
        <v>28578.959999999999</v>
      </c>
      <c r="J5" s="10" t="str">
        <f>BAHTTEXT(I5)</f>
        <v>สองหมื่นแปดพันห้าร้อยเจ็ดสิบแปดบาทเก้าสิบหกสตางค์</v>
      </c>
      <c r="K5" s="14">
        <v>1587.72</v>
      </c>
      <c r="L5" s="10" t="str">
        <f>BAHTTEXT(K5)</f>
        <v>หนึ่งพันห้าร้อยแปดสิบเจ็ดบาทเจ็ดสิบสองสตางค์</v>
      </c>
      <c r="M5" s="10">
        <v>18</v>
      </c>
      <c r="N5" s="15">
        <v>45597</v>
      </c>
      <c r="O5" s="10">
        <v>1</v>
      </c>
      <c r="P5" s="10">
        <v>18</v>
      </c>
      <c r="Q5" s="10">
        <v>18</v>
      </c>
      <c r="R5" s="16">
        <v>1587.72</v>
      </c>
      <c r="S5" s="10" t="str">
        <f>BAHTTEXT(R5)</f>
        <v>หนึ่งพันห้าร้อยแปดสิบเจ็ดบาทเจ็ดสิบสองสตางค์</v>
      </c>
      <c r="T5" s="10">
        <v>100</v>
      </c>
      <c r="U5" s="10" t="str">
        <f>BAHTTEXT(T5)</f>
        <v>หนึ่งร้อยบาทถ้วน</v>
      </c>
      <c r="V5" s="10">
        <v>50</v>
      </c>
      <c r="W5" s="10" t="str">
        <f>BAHTTEXT(V5)</f>
        <v>ห้าสิบบาทถ้วน</v>
      </c>
      <c r="X5" s="10">
        <v>0</v>
      </c>
      <c r="Y5" s="10" t="str">
        <f>BAHTTEXT(X5)</f>
        <v>ศูนย์บาทถ้วน</v>
      </c>
      <c r="Z5" s="10">
        <v>3525.44</v>
      </c>
      <c r="AA5" s="10" t="str">
        <f>BAHTTEXT(Z5)</f>
        <v>สามพันห้าร้อยยี่สิบห้าบาทสี่สิบสี่สตางค์</v>
      </c>
      <c r="AB5" s="13">
        <v>244578</v>
      </c>
      <c r="AC5" s="14" t="s">
        <v>53</v>
      </c>
      <c r="AD5" s="10" t="s">
        <v>54</v>
      </c>
      <c r="AE5" s="10" t="s">
        <v>55</v>
      </c>
      <c r="AF5" s="10" t="s">
        <v>56</v>
      </c>
      <c r="AG5" s="10">
        <v>57100</v>
      </c>
    </row>
    <row r="6" spans="1:33" ht="19.8" customHeight="1">
      <c r="A6" s="12">
        <v>25192436</v>
      </c>
      <c r="B6" s="10" t="s">
        <v>57</v>
      </c>
      <c r="C6" s="15">
        <v>45746</v>
      </c>
      <c r="D6" s="10" t="s">
        <v>35</v>
      </c>
      <c r="E6" s="10" t="s">
        <v>58</v>
      </c>
      <c r="F6" s="10" t="s">
        <v>59</v>
      </c>
      <c r="G6" s="11" t="s">
        <v>60</v>
      </c>
      <c r="H6" s="10" t="s">
        <v>61</v>
      </c>
      <c r="I6" s="16">
        <v>13612.56</v>
      </c>
      <c r="J6" s="10" t="str">
        <f>BAHTTEXT(I6)</f>
        <v>หนึ่งหมื่นสามพันหกร้อยสิบสองบาทห้าสิบหกสตางค์</v>
      </c>
      <c r="K6" s="14">
        <v>567.19000000000005</v>
      </c>
      <c r="L6" s="10" t="str">
        <f>BAHTTEXT(K6)</f>
        <v>ห้าร้อยหกสิบเจ็ดบาทสิบเก้าสตางค์</v>
      </c>
      <c r="M6" s="10">
        <v>24</v>
      </c>
      <c r="N6" s="15">
        <v>45763</v>
      </c>
      <c r="O6" s="10">
        <v>16</v>
      </c>
      <c r="P6" s="10">
        <v>12</v>
      </c>
      <c r="Q6" s="10">
        <v>17</v>
      </c>
      <c r="R6" s="16">
        <v>2835.95</v>
      </c>
      <c r="S6" s="10" t="str">
        <f>BAHTTEXT(R6)</f>
        <v>สองพันแปดร้อยสามสิบห้าบาทเก้าสิบห้าสตางค์</v>
      </c>
      <c r="T6" s="10">
        <v>500</v>
      </c>
      <c r="U6" s="10" t="str">
        <f>BAHTTEXT(T6)</f>
        <v>ห้าร้อยบาทถ้วน</v>
      </c>
      <c r="V6" s="10">
        <v>450</v>
      </c>
      <c r="W6" s="10" t="str">
        <f>BAHTTEXT(V6)</f>
        <v>สี่ร้อยห้าสิบบาทถ้วน</v>
      </c>
      <c r="X6" s="10">
        <v>0</v>
      </c>
      <c r="Y6" s="10" t="str">
        <f>BAHTTEXT(X6)</f>
        <v>ศูนย์บาทถ้วน</v>
      </c>
      <c r="Z6" s="10">
        <v>3835.95</v>
      </c>
      <c r="AA6" s="10" t="str">
        <f>BAHTTEXT(Z6)</f>
        <v>สามพันแปดร้อยสามสิบห้าบาทเก้าสิบห้าสตางค์</v>
      </c>
      <c r="AB6" s="13">
        <v>244563</v>
      </c>
      <c r="AC6" s="14" t="s">
        <v>62</v>
      </c>
      <c r="AD6" s="10" t="s">
        <v>63</v>
      </c>
      <c r="AE6" s="10" t="s">
        <v>64</v>
      </c>
      <c r="AF6" s="10" t="s">
        <v>65</v>
      </c>
      <c r="AG6" s="10">
        <v>21120</v>
      </c>
    </row>
    <row r="7" spans="1:33">
      <c r="A7" s="12">
        <v>24138408</v>
      </c>
      <c r="B7" s="10" t="s">
        <v>66</v>
      </c>
      <c r="C7" s="15">
        <v>45552</v>
      </c>
      <c r="D7" s="10" t="s">
        <v>35</v>
      </c>
      <c r="E7" s="10" t="s">
        <v>36</v>
      </c>
      <c r="F7" s="10" t="s">
        <v>67</v>
      </c>
      <c r="G7" s="11" t="s">
        <v>68</v>
      </c>
      <c r="H7" s="10" t="s">
        <v>69</v>
      </c>
      <c r="I7" s="16">
        <v>23421.119999999999</v>
      </c>
      <c r="J7" s="10" t="str">
        <f>BAHTTEXT(I7)</f>
        <v>สองหมื่นสามพันสี่ร้อยยี่สิบเอ็ดบาทสิบสองสตางค์</v>
      </c>
      <c r="K7" s="14">
        <v>975.88</v>
      </c>
      <c r="L7" s="10" t="str">
        <f>BAHTTEXT(K7)</f>
        <v>เก้าร้อยเจ็ดสิบห้าบาทแปดสิบแปดสตางค์</v>
      </c>
      <c r="M7" s="10">
        <v>24</v>
      </c>
      <c r="N7" s="15">
        <v>45581</v>
      </c>
      <c r="O7" s="10">
        <v>16</v>
      </c>
      <c r="P7" s="10">
        <v>17</v>
      </c>
      <c r="Q7" s="10">
        <v>22</v>
      </c>
      <c r="R7" s="16">
        <v>5855.28</v>
      </c>
      <c r="S7" s="10" t="str">
        <f>BAHTTEXT(R7)</f>
        <v>ห้าพันแปดร้อยห้าสิบห้าบาทยี่สิบแปดสตางค์</v>
      </c>
      <c r="T7" s="10">
        <v>600</v>
      </c>
      <c r="U7" s="10" t="str">
        <f>BAHTTEXT(T7)</f>
        <v>หกร้อยบาทถ้วน</v>
      </c>
      <c r="V7" s="10">
        <v>450</v>
      </c>
      <c r="W7" s="10" t="str">
        <f>BAHTTEXT(V7)</f>
        <v>สี่ร้อยห้าสิบบาทถ้วน</v>
      </c>
      <c r="X7" s="10">
        <v>0</v>
      </c>
      <c r="Y7" s="10" t="str">
        <f>BAHTTEXT(X7)</f>
        <v>ศูนย์บาทถ้วน</v>
      </c>
      <c r="Z7" s="10">
        <v>6955.28</v>
      </c>
      <c r="AA7" s="10" t="str">
        <f>BAHTTEXT(Z7)</f>
        <v>หกพันเก้าร้อยห้าสิบห้าบาทยี่สิบแปดสตางค์</v>
      </c>
      <c r="AB7" s="13">
        <v>244578</v>
      </c>
      <c r="AC7" s="14" t="s">
        <v>70</v>
      </c>
      <c r="AD7" s="10" t="s">
        <v>71</v>
      </c>
      <c r="AE7" s="10" t="s">
        <v>72</v>
      </c>
      <c r="AF7" s="10" t="s">
        <v>73</v>
      </c>
      <c r="AG7" s="10">
        <v>90160</v>
      </c>
    </row>
    <row r="8" spans="1:33">
      <c r="L8" s="10" t="str">
        <f>BAHTTEXT(K8)</f>
        <v>ศูนย์บาทถ้วน</v>
      </c>
      <c r="N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A3C3-C646-49C1-BFBB-61C9841AD42F}">
  <dimension ref="A1:D34"/>
  <sheetViews>
    <sheetView tabSelected="1" topLeftCell="A13" workbookViewId="0">
      <selection activeCell="D13" sqref="D13"/>
    </sheetView>
  </sheetViews>
  <sheetFormatPr defaultRowHeight="24.6"/>
  <cols>
    <col min="1" max="1" width="20.5546875" style="17" customWidth="1"/>
    <col min="2" max="2" width="36.33203125" style="22" customWidth="1"/>
    <col min="3" max="3" width="72.109375" style="17" customWidth="1"/>
    <col min="4" max="4" width="132.33203125" style="20" customWidth="1"/>
    <col min="5" max="16384" width="8.88671875" style="17"/>
  </cols>
  <sheetData>
    <row r="1" spans="1:4">
      <c r="A1" s="23" t="s">
        <v>74</v>
      </c>
      <c r="B1" s="24" t="s">
        <v>155</v>
      </c>
      <c r="C1" s="23" t="s">
        <v>156</v>
      </c>
      <c r="D1" s="25" t="s">
        <v>154</v>
      </c>
    </row>
    <row r="2" spans="1:4">
      <c r="A2" s="18" t="s">
        <v>75</v>
      </c>
      <c r="B2" s="21" t="s">
        <v>1</v>
      </c>
      <c r="C2" s="18" t="s">
        <v>76</v>
      </c>
      <c r="D2" s="19" t="s">
        <v>157</v>
      </c>
    </row>
    <row r="3" spans="1:4">
      <c r="A3" s="18" t="s">
        <v>77</v>
      </c>
      <c r="B3" s="21" t="s">
        <v>2</v>
      </c>
      <c r="C3" s="18" t="s">
        <v>141</v>
      </c>
      <c r="D3" s="19" t="s">
        <v>142</v>
      </c>
    </row>
    <row r="4" spans="1:4">
      <c r="A4" s="18" t="s">
        <v>78</v>
      </c>
      <c r="B4" s="21" t="s">
        <v>3</v>
      </c>
      <c r="C4" s="18" t="s">
        <v>79</v>
      </c>
      <c r="D4" s="19" t="s">
        <v>143</v>
      </c>
    </row>
    <row r="5" spans="1:4">
      <c r="A5" s="18" t="s">
        <v>80</v>
      </c>
      <c r="B5" s="21" t="s">
        <v>4</v>
      </c>
      <c r="C5" s="18" t="s">
        <v>81</v>
      </c>
      <c r="D5" s="19" t="s">
        <v>144</v>
      </c>
    </row>
    <row r="6" spans="1:4">
      <c r="A6" s="18" t="s">
        <v>82</v>
      </c>
      <c r="B6" s="21" t="s">
        <v>5</v>
      </c>
      <c r="C6" s="18" t="s">
        <v>83</v>
      </c>
      <c r="D6" s="19" t="s">
        <v>158</v>
      </c>
    </row>
    <row r="7" spans="1:4">
      <c r="A7" s="18" t="s">
        <v>84</v>
      </c>
      <c r="B7" s="21" t="s">
        <v>6</v>
      </c>
      <c r="C7" s="18" t="s">
        <v>85</v>
      </c>
      <c r="D7" s="19"/>
    </row>
    <row r="8" spans="1:4">
      <c r="A8" s="18" t="s">
        <v>86</v>
      </c>
      <c r="B8" s="21" t="s">
        <v>7</v>
      </c>
      <c r="C8" s="18" t="s">
        <v>87</v>
      </c>
      <c r="D8" s="19"/>
    </row>
    <row r="9" spans="1:4">
      <c r="A9" s="18" t="s">
        <v>88</v>
      </c>
      <c r="B9" s="21" t="s">
        <v>8</v>
      </c>
      <c r="C9" s="18" t="s">
        <v>89</v>
      </c>
      <c r="D9" s="19" t="s">
        <v>145</v>
      </c>
    </row>
    <row r="10" spans="1:4">
      <c r="A10" s="18" t="s">
        <v>90</v>
      </c>
      <c r="B10" s="21" t="s">
        <v>91</v>
      </c>
      <c r="C10" s="18" t="s">
        <v>92</v>
      </c>
      <c r="D10" s="19" t="s">
        <v>159</v>
      </c>
    </row>
    <row r="11" spans="1:4">
      <c r="A11" s="18" t="s">
        <v>93</v>
      </c>
      <c r="B11" s="21" t="s">
        <v>10</v>
      </c>
      <c r="C11" s="18" t="s">
        <v>94</v>
      </c>
      <c r="D11" s="19" t="s">
        <v>160</v>
      </c>
    </row>
    <row r="12" spans="1:4">
      <c r="A12" s="18" t="s">
        <v>95</v>
      </c>
      <c r="B12" s="21" t="s">
        <v>96</v>
      </c>
      <c r="C12" s="18" t="s">
        <v>97</v>
      </c>
      <c r="D12" s="19" t="s">
        <v>146</v>
      </c>
    </row>
    <row r="13" spans="1:4">
      <c r="A13" s="18" t="s">
        <v>98</v>
      </c>
      <c r="B13" s="21" t="s">
        <v>12</v>
      </c>
      <c r="C13" s="18" t="s">
        <v>94</v>
      </c>
      <c r="D13" s="19" t="s">
        <v>160</v>
      </c>
    </row>
    <row r="14" spans="1:4">
      <c r="A14" s="18" t="s">
        <v>99</v>
      </c>
      <c r="B14" s="21" t="s">
        <v>100</v>
      </c>
      <c r="C14" s="18" t="s">
        <v>101</v>
      </c>
      <c r="D14" s="19" t="s">
        <v>147</v>
      </c>
    </row>
    <row r="15" spans="1:4">
      <c r="A15" s="18" t="s">
        <v>102</v>
      </c>
      <c r="B15" s="21" t="s">
        <v>14</v>
      </c>
      <c r="C15" s="18" t="s">
        <v>103</v>
      </c>
      <c r="D15" s="19" t="s">
        <v>148</v>
      </c>
    </row>
    <row r="16" spans="1:4">
      <c r="A16" s="18" t="s">
        <v>104</v>
      </c>
      <c r="B16" s="21" t="s">
        <v>15</v>
      </c>
      <c r="C16" s="18" t="s">
        <v>105</v>
      </c>
      <c r="D16" s="19" t="s">
        <v>106</v>
      </c>
    </row>
    <row r="17" spans="1:4">
      <c r="A17" s="18" t="s">
        <v>107</v>
      </c>
      <c r="B17" s="21" t="s">
        <v>16</v>
      </c>
      <c r="C17" s="18" t="s">
        <v>92</v>
      </c>
      <c r="D17" s="19" t="s">
        <v>149</v>
      </c>
    </row>
    <row r="18" spans="1:4">
      <c r="A18" s="18" t="s">
        <v>108</v>
      </c>
      <c r="B18" s="21" t="s">
        <v>17</v>
      </c>
      <c r="C18" s="18" t="s">
        <v>92</v>
      </c>
      <c r="D18" s="19" t="s">
        <v>150</v>
      </c>
    </row>
    <row r="19" spans="1:4">
      <c r="A19" s="18" t="s">
        <v>109</v>
      </c>
      <c r="B19" s="21" t="s">
        <v>110</v>
      </c>
      <c r="C19" s="18" t="s">
        <v>111</v>
      </c>
      <c r="D19" s="19" t="s">
        <v>151</v>
      </c>
    </row>
    <row r="20" spans="1:4">
      <c r="A20" s="18" t="s">
        <v>112</v>
      </c>
      <c r="B20" s="21" t="s">
        <v>19</v>
      </c>
      <c r="C20" s="18" t="s">
        <v>94</v>
      </c>
      <c r="D20" s="19" t="s">
        <v>160</v>
      </c>
    </row>
    <row r="21" spans="1:4">
      <c r="A21" s="18" t="s">
        <v>113</v>
      </c>
      <c r="B21" s="21" t="s">
        <v>114</v>
      </c>
      <c r="C21" s="18" t="s">
        <v>115</v>
      </c>
      <c r="D21" s="27" t="s">
        <v>116</v>
      </c>
    </row>
    <row r="22" spans="1:4">
      <c r="A22" s="18" t="s">
        <v>117</v>
      </c>
      <c r="B22" s="21" t="s">
        <v>21</v>
      </c>
      <c r="C22" s="18" t="s">
        <v>94</v>
      </c>
      <c r="D22" s="19" t="s">
        <v>160</v>
      </c>
    </row>
    <row r="23" spans="1:4">
      <c r="A23" s="18" t="s">
        <v>118</v>
      </c>
      <c r="B23" s="21" t="s">
        <v>22</v>
      </c>
      <c r="C23" s="18" t="s">
        <v>119</v>
      </c>
      <c r="D23" s="27" t="s">
        <v>120</v>
      </c>
    </row>
    <row r="24" spans="1:4">
      <c r="A24" s="18" t="s">
        <v>121</v>
      </c>
      <c r="B24" s="21" t="s">
        <v>23</v>
      </c>
      <c r="C24" s="18" t="s">
        <v>94</v>
      </c>
      <c r="D24" s="19" t="s">
        <v>164</v>
      </c>
    </row>
    <row r="25" spans="1:4">
      <c r="A25" s="18" t="s">
        <v>122</v>
      </c>
      <c r="B25" s="21" t="s">
        <v>123</v>
      </c>
      <c r="C25" s="18" t="s">
        <v>161</v>
      </c>
      <c r="D25" s="19"/>
    </row>
    <row r="26" spans="1:4">
      <c r="A26" s="18" t="s">
        <v>124</v>
      </c>
      <c r="B26" s="21" t="s">
        <v>25</v>
      </c>
      <c r="C26" s="18" t="s">
        <v>94</v>
      </c>
      <c r="D26" s="19" t="s">
        <v>160</v>
      </c>
    </row>
    <row r="27" spans="1:4">
      <c r="A27" s="18" t="s">
        <v>125</v>
      </c>
      <c r="B27" s="21" t="s">
        <v>26</v>
      </c>
      <c r="C27" s="18" t="s">
        <v>92</v>
      </c>
      <c r="D27" s="19" t="s">
        <v>126</v>
      </c>
    </row>
    <row r="28" spans="1:4">
      <c r="A28" s="18" t="s">
        <v>127</v>
      </c>
      <c r="B28" s="21" t="s">
        <v>27</v>
      </c>
      <c r="C28" s="18" t="s">
        <v>94</v>
      </c>
      <c r="D28" s="19" t="s">
        <v>160</v>
      </c>
    </row>
    <row r="29" spans="1:4">
      <c r="A29" s="18" t="s">
        <v>128</v>
      </c>
      <c r="B29" s="21" t="s">
        <v>28</v>
      </c>
      <c r="C29" s="18" t="s">
        <v>129</v>
      </c>
      <c r="D29" s="19" t="s">
        <v>130</v>
      </c>
    </row>
    <row r="30" spans="1:4">
      <c r="A30" s="18" t="s">
        <v>131</v>
      </c>
      <c r="B30" s="21" t="s">
        <v>29</v>
      </c>
      <c r="C30" s="18" t="s">
        <v>132</v>
      </c>
      <c r="D30" s="19" t="s">
        <v>133</v>
      </c>
    </row>
    <row r="31" spans="1:4">
      <c r="A31" s="18" t="s">
        <v>134</v>
      </c>
      <c r="B31" s="21" t="s">
        <v>30</v>
      </c>
      <c r="C31" s="18" t="s">
        <v>152</v>
      </c>
      <c r="D31" s="19" t="s">
        <v>165</v>
      </c>
    </row>
    <row r="32" spans="1:4">
      <c r="A32" s="18" t="s">
        <v>135</v>
      </c>
      <c r="B32" s="21" t="s">
        <v>136</v>
      </c>
      <c r="C32" s="18" t="s">
        <v>153</v>
      </c>
      <c r="D32" s="26" t="s">
        <v>162</v>
      </c>
    </row>
    <row r="33" spans="1:4">
      <c r="A33" s="18" t="s">
        <v>137</v>
      </c>
      <c r="B33" s="21" t="s">
        <v>32</v>
      </c>
      <c r="C33" s="18" t="s">
        <v>138</v>
      </c>
      <c r="D33" s="19" t="s">
        <v>163</v>
      </c>
    </row>
    <row r="34" spans="1:4">
      <c r="A34" s="18" t="s">
        <v>139</v>
      </c>
      <c r="B34" s="21" t="s">
        <v>33</v>
      </c>
      <c r="C34" s="18" t="s">
        <v>140</v>
      </c>
      <c r="D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 Admin01</dc:creator>
  <cp:lastModifiedBy>Sapon.S</cp:lastModifiedBy>
  <dcterms:created xsi:type="dcterms:W3CDTF">2026-08-25T10:36:10Z</dcterms:created>
  <dcterms:modified xsi:type="dcterms:W3CDTF">2026-08-27T06:49:53Z</dcterms:modified>
</cp:coreProperties>
</file>